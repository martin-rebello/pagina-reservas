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mazte\Downloads\"/>
    </mc:Choice>
  </mc:AlternateContent>
  <xr:revisionPtr revIDLastSave="0" documentId="13_ncr:1_{86E8E3E0-681B-4631-9C33-E808BC4F7CC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ráfico" sheetId="7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1" l="1"/>
  <c r="H18" i="1"/>
  <c r="A17" i="1"/>
  <c r="H17" i="1"/>
  <c r="A16" i="1"/>
  <c r="H16" i="1"/>
  <c r="A15" i="1"/>
  <c r="H15" i="1"/>
  <c r="A14" i="1"/>
  <c r="H14" i="1"/>
  <c r="A10" i="1"/>
  <c r="H13" i="1"/>
  <c r="H12" i="1"/>
  <c r="A8" i="1"/>
  <c r="A9" i="1" s="1"/>
  <c r="H8" i="1"/>
  <c r="H9" i="1"/>
  <c r="H10" i="1"/>
  <c r="H11" i="1"/>
  <c r="A13" i="1" l="1"/>
  <c r="H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TALLER 2</author>
  </authors>
  <commentList>
    <comment ref="A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ID - Selector:</t>
        </r>
        <r>
          <rPr>
            <sz val="9"/>
            <color indexed="81"/>
            <rFont val="Tahoma"/>
            <family val="2"/>
          </rPr>
          <t xml:space="preserve">
Se validan ñps datps de ñas ceñdas. Cpñpdamdp em ñostas ñps vañpres qie queremos utilizar, ya sea ID's o palabras.
</t>
        </r>
      </text>
    </comment>
    <comment ref="F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Probabilidad:
-Se validan poniendo en listas los valores, Bajo, medio y alto como B - M - A.</t>
        </r>
      </text>
    </comment>
    <comment ref="H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prioridad:
-Se utilizan funciones para predeterminar según impacto y probabilidad la escala de prioridad</t>
        </r>
      </text>
    </comment>
  </commentList>
</comments>
</file>

<file path=xl/sharedStrings.xml><?xml version="1.0" encoding="utf-8"?>
<sst xmlns="http://schemas.openxmlformats.org/spreadsheetml/2006/main" count="109" uniqueCount="68">
  <si>
    <t>Posible resultado</t>
  </si>
  <si>
    <t>Sintoma</t>
  </si>
  <si>
    <t>Riesgo (si)</t>
  </si>
  <si>
    <t>Probabilidad A/M/B</t>
  </si>
  <si>
    <t>Impacto (A/M/B)</t>
  </si>
  <si>
    <t>Prioridad (1-9)</t>
  </si>
  <si>
    <t>Respuesta</t>
  </si>
  <si>
    <t>Responsable de la accion de respuesta</t>
  </si>
  <si>
    <t>#</t>
  </si>
  <si>
    <t>FECHA INICIO:</t>
  </si>
  <si>
    <t>En la etapa de prototipo el sitio puede trabajar de forma local, pero es vital que las pruebas y sobre todo la puesta en marcha sea con internet</t>
  </si>
  <si>
    <t>Problemas de tipo Hardware</t>
  </si>
  <si>
    <t>Problemas de tipo Software</t>
  </si>
  <si>
    <t>Lograr que las tecnologías sean compatibles entre si</t>
  </si>
  <si>
    <t>Los tiempos acotados son muy inferiores a los reales, implica que los testeos pueden no realizarse</t>
  </si>
  <si>
    <t>Incompatbilidad entre navegadores principales</t>
  </si>
  <si>
    <t>medio</t>
  </si>
  <si>
    <t>Deja de funcionar el equipo del desarollador por problemas tecnicos</t>
  </si>
  <si>
    <t>Equipo Lento o que deje de funcionar</t>
  </si>
  <si>
    <t>Caida del sistema operativo</t>
  </si>
  <si>
    <t>Pantalla azul o que deje de funcionar</t>
  </si>
  <si>
    <t>No obtener los resultados requeridos</t>
  </si>
  <si>
    <t>Fallas en el diseño del sitio WEB</t>
  </si>
  <si>
    <t>Existe la posibilidad de que no este trabajando al 100% o dejar p endientes algunos modulos</t>
  </si>
  <si>
    <t>Desarrollador</t>
  </si>
  <si>
    <t>Cada vez que se realizan cambios importantes se crean copias a todo el proyecto y se mantiene otro equipo de respaldo</t>
  </si>
  <si>
    <t>bajo</t>
  </si>
  <si>
    <t>Interfaz del proyecto no sea agradable para todos los clientes</t>
  </si>
  <si>
    <t>alto</t>
  </si>
  <si>
    <t>Tipo</t>
  </si>
  <si>
    <t>OTROS</t>
  </si>
  <si>
    <t>FECHA DE TERMINO PROPUESTA: 14/07/2025</t>
  </si>
  <si>
    <t>RED</t>
  </si>
  <si>
    <t>SOFTWARE</t>
  </si>
  <si>
    <t>HARWARE</t>
  </si>
  <si>
    <t>Falta de limitadores de intento de logeos para usuario y empleado</t>
  </si>
  <si>
    <t>El atacante podria entrar a cuentas de otras personas</t>
  </si>
  <si>
    <t>Implementar limitadores de intento de logeos a un maximo de 3 o 5 intentos.</t>
  </si>
  <si>
    <t>ID PROYECTO:Sistema reservas para municipalidad</t>
  </si>
  <si>
    <t>Lentitud en envio de correos</t>
  </si>
  <si>
    <t>Largos tiempos de espera en computadoras antiguas</t>
  </si>
  <si>
    <t>Uso de software basico</t>
  </si>
  <si>
    <t>Falta de cierre de sesiones en algunas paginas y procesos de datos</t>
  </si>
  <si>
    <t>Implementar otra libreria para enviar correos</t>
  </si>
  <si>
    <t>En teoria ya se conocen las incompatibilidades pero tiene soluciones</t>
  </si>
  <si>
    <t>Problemas de navegacion en la pagina para personas menos sabias en tecnologia</t>
  </si>
  <si>
    <t>Diseño basico de pagina</t>
  </si>
  <si>
    <t>Implementar un diseño de pagina con mas indicacores para cada funcionalidad</t>
  </si>
  <si>
    <t>Ataques de fuerza bruta</t>
  </si>
  <si>
    <t>Posible riesgo de credenciales en caso de robo de un aparato de un usuario</t>
  </si>
  <si>
    <t>Ingreso por medio de historial</t>
  </si>
  <si>
    <t>Implementar cierre de sesiones en algunos procesos de datos</t>
  </si>
  <si>
    <t>Edicion de datos de usuario</t>
  </si>
  <si>
    <t>Imposible cambiar datos de un usario una vez que se registra</t>
  </si>
  <si>
    <t>Formulario de edicion tiene algunos campos de solo lectura</t>
  </si>
  <si>
    <t>Editar codigo de formulario e insertacion de datos en caso de que se cambien datos del usuario</t>
  </si>
  <si>
    <t>Arquitectura y diseño de pagina no eficiente</t>
  </si>
  <si>
    <t>Caida de la pagina</t>
  </si>
  <si>
    <t>Implementar mejor arquitectura y diseño de pagina segmentando ciertos procesos para uso mas eficiente de recursos e implementar escalabilidad de la pagina en caso de ataques de red o mucho trafico</t>
  </si>
  <si>
    <t>Ataques de DDOS</t>
  </si>
  <si>
    <t>Edicion de horarios de atencion</t>
  </si>
  <si>
    <t>Falta de implementacion de edicion de horarios para empleados</t>
  </si>
  <si>
    <t xml:space="preserve">Se puede pedir reservas en todos los dias de la semana </t>
  </si>
  <si>
    <t>Implementar funcionalidad de edicion de dias y horas para empleados y  realizas cambios en la base de datos</t>
  </si>
  <si>
    <t xml:space="preserve"> Falsificación de Peticiones en Sitios Cruzados</t>
  </si>
  <si>
    <t>Engaña a los usuarios para que ejecuten acciones no deseadas.</t>
  </si>
  <si>
    <t>Utilizar tokens de validacion</t>
  </si>
  <si>
    <t>Falta de validacion de tokens entre pagina y servidor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</si>
</sst>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6" xfId="0" applyBorder="1"/>
    <xf numFmtId="0" fontId="0" fillId="0" borderId="9" xfId="0" applyBorder="1"/>
    <xf numFmtId="0" fontId="0" fillId="0" borderId="11" xfId="0" applyBorder="1"/>
    <xf numFmtId="0" fontId="2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textRotation="90" wrapText="1"/>
    </xf>
    <xf numFmtId="0" fontId="4" fillId="4" borderId="1" xfId="0" applyFont="1" applyFill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</cellXfs>
  <cellStyles count="1"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Prioridades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Hoja1!$A$6</c:f>
              <c:strCache>
                <c:ptCount val="1"/>
                <c:pt idx="0">
                  <c:v>#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Hoja1!$H$7:$H$11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4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C1-40DD-AC2A-79562C815F0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62257103"/>
        <c:axId val="1862258767"/>
      </c:barChart>
      <c:catAx>
        <c:axId val="1862257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200"/>
                  <a:t>EVENTO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258767"/>
        <c:crosses val="autoZero"/>
        <c:auto val="1"/>
        <c:lblAlgn val="ctr"/>
        <c:lblOffset val="100"/>
        <c:noMultiLvlLbl val="0"/>
      </c:catAx>
      <c:valAx>
        <c:axId val="186225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400"/>
                  <a:t>PRIORIDAD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257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104" cy="628385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23131</xdr:colOff>
      <xdr:row>1</xdr:row>
      <xdr:rowOff>96610</xdr:rowOff>
    </xdr:from>
    <xdr:to>
      <xdr:col>13</xdr:col>
      <xdr:colOff>6085</xdr:colOff>
      <xdr:row>6</xdr:row>
      <xdr:rowOff>353785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0667" y="300717"/>
          <a:ext cx="1506955" cy="1590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tabSelected="1" topLeftCell="A7" zoomScale="70" zoomScaleNormal="70" workbookViewId="0">
      <selection activeCell="K17" sqref="K17"/>
    </sheetView>
  </sheetViews>
  <sheetFormatPr defaultColWidth="11.5546875" defaultRowHeight="14.4" x14ac:dyDescent="0.3"/>
  <cols>
    <col min="1" max="1" width="7.33203125" customWidth="1"/>
    <col min="2" max="2" width="13.44140625" bestFit="1" customWidth="1"/>
    <col min="3" max="3" width="40.6640625" customWidth="1"/>
    <col min="4" max="4" width="17.6640625" customWidth="1"/>
    <col min="5" max="5" width="17.109375" customWidth="1"/>
    <col min="6" max="6" width="14.44140625" customWidth="1"/>
    <col min="7" max="7" width="10.33203125" customWidth="1"/>
    <col min="8" max="8" width="10.44140625" customWidth="1"/>
    <col min="9" max="9" width="18.6640625" customWidth="1"/>
    <col min="10" max="10" width="18.5546875" bestFit="1" customWidth="1"/>
  </cols>
  <sheetData>
    <row r="1" spans="1:11" ht="15.75" customHeight="1" x14ac:dyDescent="0.3">
      <c r="C1" s="11"/>
      <c r="D1" s="12"/>
      <c r="E1" s="12"/>
      <c r="F1" s="12"/>
      <c r="G1" s="12"/>
      <c r="H1" s="12"/>
      <c r="I1" s="12"/>
      <c r="J1" s="13"/>
      <c r="K1" s="1"/>
    </row>
    <row r="2" spans="1:11" x14ac:dyDescent="0.3">
      <c r="C2" s="2" t="s">
        <v>38</v>
      </c>
      <c r="D2" s="14"/>
      <c r="E2" s="14"/>
      <c r="F2" s="14"/>
      <c r="G2" s="14"/>
      <c r="H2" s="14"/>
      <c r="I2" s="14"/>
      <c r="J2" s="15"/>
    </row>
    <row r="3" spans="1:11" x14ac:dyDescent="0.3">
      <c r="C3" s="3" t="s">
        <v>9</v>
      </c>
      <c r="D3" s="16"/>
      <c r="E3" s="16"/>
      <c r="F3" s="16"/>
      <c r="G3" s="16"/>
      <c r="H3" s="16"/>
      <c r="I3" s="16"/>
      <c r="J3" s="17"/>
    </row>
    <row r="4" spans="1:11" x14ac:dyDescent="0.3">
      <c r="C4" s="4" t="s">
        <v>31</v>
      </c>
      <c r="D4" s="18"/>
      <c r="E4" s="18"/>
      <c r="F4" s="18"/>
      <c r="G4" s="18"/>
      <c r="H4" s="18"/>
      <c r="I4" s="18"/>
      <c r="J4" s="19"/>
    </row>
    <row r="6" spans="1:11" ht="45" customHeight="1" x14ac:dyDescent="0.3">
      <c r="A6" s="5" t="s">
        <v>8</v>
      </c>
      <c r="B6" s="5" t="s">
        <v>29</v>
      </c>
      <c r="C6" s="6" t="s">
        <v>2</v>
      </c>
      <c r="D6" s="6" t="s">
        <v>0</v>
      </c>
      <c r="E6" s="6" t="s">
        <v>1</v>
      </c>
      <c r="F6" s="7" t="s">
        <v>3</v>
      </c>
      <c r="G6" s="7" t="s">
        <v>4</v>
      </c>
      <c r="H6" s="8" t="s">
        <v>5</v>
      </c>
      <c r="I6" s="6" t="s">
        <v>6</v>
      </c>
      <c r="J6" s="6" t="s">
        <v>7</v>
      </c>
    </row>
    <row r="7" spans="1:11" ht="108.75" customHeight="1" x14ac:dyDescent="0.3">
      <c r="A7" s="20">
        <v>1</v>
      </c>
      <c r="B7" s="21" t="s">
        <v>30</v>
      </c>
      <c r="C7" s="9" t="s">
        <v>10</v>
      </c>
      <c r="D7" s="9" t="s">
        <v>14</v>
      </c>
      <c r="E7" s="9" t="s">
        <v>15</v>
      </c>
      <c r="F7" s="10" t="s">
        <v>28</v>
      </c>
      <c r="G7" s="10" t="s">
        <v>28</v>
      </c>
      <c r="H7" s="10">
        <f>IF(AND(F7="bajo",G7="bajo"),9,IF(AND(F7="bajo",G7="medio"),8,IF(AND(F7="bajo",G7="alto"),6,IF(AND(F7="medio",G7="bajo"),7,IF(AND(F7="medio",G7="medio"),5,IF(AND(F7="medio",G7="alto"),3,IF(AND(F7="alto",G7="bajo"),4,IF(AND(F7="alto",G7="medio"),2,IF(AND(F7="alto",G7="alto"),1,"Error")))))))))</f>
        <v>1</v>
      </c>
      <c r="I7" s="9" t="s">
        <v>23</v>
      </c>
      <c r="J7" s="9" t="s">
        <v>24</v>
      </c>
    </row>
    <row r="8" spans="1:11" ht="100.8" x14ac:dyDescent="0.3">
      <c r="A8" s="20">
        <f>A7+1</f>
        <v>2</v>
      </c>
      <c r="B8" s="21" t="s">
        <v>34</v>
      </c>
      <c r="C8" s="9" t="s">
        <v>11</v>
      </c>
      <c r="D8" s="9" t="s">
        <v>17</v>
      </c>
      <c r="E8" s="9" t="s">
        <v>18</v>
      </c>
      <c r="F8" s="10" t="s">
        <v>16</v>
      </c>
      <c r="G8" s="10" t="s">
        <v>28</v>
      </c>
      <c r="H8" s="10">
        <f t="shared" ref="H8:H10" si="0">IF(AND(F8="bajo",G8="bajo"),9,IF(AND(F8="bajo",G8="medio"),8,IF(AND(F8="bajo",G8="alto"),6,IF(AND(F8="medio",G8="bajo"),7,IF(AND(F8="medio",G8="medio"),5,IF(AND(F8="medio",G8="alto"),3,IF(AND(F8="alto",G8="bajo"),4,IF(AND(F8="alto",G8="medio"),2,IF(AND(F8="alto",G8="alto"),1,"Error")))))))))</f>
        <v>3</v>
      </c>
      <c r="I8" s="9" t="s">
        <v>25</v>
      </c>
      <c r="J8" s="9" t="s">
        <v>24</v>
      </c>
    </row>
    <row r="9" spans="1:11" ht="100.8" x14ac:dyDescent="0.3">
      <c r="A9" s="20">
        <f t="shared" ref="A9:A10" si="1">A8+1</f>
        <v>3</v>
      </c>
      <c r="B9" s="21" t="s">
        <v>33</v>
      </c>
      <c r="C9" s="9" t="s">
        <v>12</v>
      </c>
      <c r="D9" s="9" t="s">
        <v>19</v>
      </c>
      <c r="E9" s="9" t="s">
        <v>20</v>
      </c>
      <c r="F9" s="10" t="s">
        <v>26</v>
      </c>
      <c r="G9" s="10" t="s">
        <v>28</v>
      </c>
      <c r="H9" s="10">
        <f t="shared" si="0"/>
        <v>6</v>
      </c>
      <c r="I9" s="9" t="s">
        <v>25</v>
      </c>
      <c r="J9" s="9" t="s">
        <v>24</v>
      </c>
    </row>
    <row r="10" spans="1:11" ht="57.6" x14ac:dyDescent="0.3">
      <c r="A10" s="20">
        <f>A9+1</f>
        <v>4</v>
      </c>
      <c r="B10" s="21" t="s">
        <v>30</v>
      </c>
      <c r="C10" s="9" t="s">
        <v>13</v>
      </c>
      <c r="D10" s="9" t="s">
        <v>21</v>
      </c>
      <c r="E10" s="9" t="s">
        <v>22</v>
      </c>
      <c r="F10" s="10" t="s">
        <v>28</v>
      </c>
      <c r="G10" s="10" t="s">
        <v>26</v>
      </c>
      <c r="H10" s="10">
        <f t="shared" si="0"/>
        <v>4</v>
      </c>
      <c r="I10" s="9" t="s">
        <v>44</v>
      </c>
      <c r="J10" s="9" t="s">
        <v>24</v>
      </c>
    </row>
    <row r="11" spans="1:11" ht="72" x14ac:dyDescent="0.3">
      <c r="A11" s="20">
        <v>5</v>
      </c>
      <c r="B11" s="21" t="s">
        <v>33</v>
      </c>
      <c r="C11" s="9" t="s">
        <v>27</v>
      </c>
      <c r="D11" s="9" t="s">
        <v>45</v>
      </c>
      <c r="E11" s="9" t="s">
        <v>46</v>
      </c>
      <c r="F11" s="10" t="s">
        <v>26</v>
      </c>
      <c r="G11" s="10" t="s">
        <v>26</v>
      </c>
      <c r="H11" s="10">
        <f>IF(AND(F11="bajo",G11="bajo"),9,IF(AND(F11="bajo",G11="medio"),8,IF(AND(F11="bajo",G11="alto"),6,IF(AND(F11="medio",G11="bajo"),7,IF(AND(F11="medio",G11="medio"),5,IF(AND(F11="medio",G11="alto"),3,IF(AND(F11="alto",G11="bajo"),4,IF(AND(F11="alto",G11="medio"),2,IF(AND(F11="alto",G11="alto"),1,"Error")))))))))</f>
        <v>9</v>
      </c>
      <c r="I11" s="9" t="s">
        <v>47</v>
      </c>
      <c r="J11" s="9" t="s">
        <v>24</v>
      </c>
    </row>
    <row r="12" spans="1:11" ht="72" x14ac:dyDescent="0.3">
      <c r="A12" s="20">
        <v>6</v>
      </c>
      <c r="B12" s="21" t="s">
        <v>33</v>
      </c>
      <c r="C12" s="9" t="s">
        <v>48</v>
      </c>
      <c r="D12" s="9" t="s">
        <v>36</v>
      </c>
      <c r="E12" s="9" t="s">
        <v>35</v>
      </c>
      <c r="F12" s="10" t="s">
        <v>28</v>
      </c>
      <c r="G12" s="10" t="s">
        <v>28</v>
      </c>
      <c r="H12" s="10">
        <f t="shared" ref="H12" si="2">IF(AND(F12="bajo",G12="bajo"),9,IF(AND(F12="bajo",G12="medio"),8,IF(AND(F12="bajo",G12="alto"),6,IF(AND(F12="medio",G12="bajo"),7,IF(AND(F12="medio",G12="medio"),5,IF(AND(F12="medio",G12="alto"),3,IF(AND(F12="alto",G12="bajo"),4,IF(AND(F12="alto",G12="medio"),2,IF(AND(F12="alto",G12="alto"),1,"Error")))))))))</f>
        <v>1</v>
      </c>
      <c r="I12" s="22" t="s">
        <v>37</v>
      </c>
      <c r="J12" s="9" t="s">
        <v>24</v>
      </c>
    </row>
    <row r="13" spans="1:11" ht="57.6" x14ac:dyDescent="0.3">
      <c r="A13" s="20">
        <f>A12+1</f>
        <v>7</v>
      </c>
      <c r="B13" s="21" t="s">
        <v>33</v>
      </c>
      <c r="C13" s="9" t="s">
        <v>39</v>
      </c>
      <c r="D13" s="9" t="s">
        <v>40</v>
      </c>
      <c r="E13" s="9" t="s">
        <v>41</v>
      </c>
      <c r="F13" s="10" t="s">
        <v>16</v>
      </c>
      <c r="G13" s="10" t="s">
        <v>26</v>
      </c>
      <c r="H13" s="10">
        <f t="shared" ref="H13" si="3">IF(AND(F13="bajo",G13="bajo"),9,IF(AND(F13="bajo",G13="medio"),8,IF(AND(F13="bajo",G13="alto"),6,IF(AND(F13="medio",G13="bajo"),7,IF(AND(F13="medio",G13="medio"),5,IF(AND(F13="medio",G13="alto"),3,IF(AND(F13="alto",G13="bajo"),4,IF(AND(F13="alto",G13="medio"),2,IF(AND(F13="alto",G13="alto"),1,"Error")))))))))</f>
        <v>7</v>
      </c>
      <c r="I13" s="22" t="s">
        <v>43</v>
      </c>
      <c r="J13" s="9" t="s">
        <v>24</v>
      </c>
    </row>
    <row r="14" spans="1:11" ht="72" x14ac:dyDescent="0.3">
      <c r="A14" s="20">
        <f>A13+1</f>
        <v>8</v>
      </c>
      <c r="B14" s="21" t="s">
        <v>33</v>
      </c>
      <c r="C14" s="9" t="s">
        <v>50</v>
      </c>
      <c r="D14" s="9" t="s">
        <v>49</v>
      </c>
      <c r="E14" s="9" t="s">
        <v>42</v>
      </c>
      <c r="F14" s="10" t="s">
        <v>26</v>
      </c>
      <c r="G14" s="10" t="s">
        <v>28</v>
      </c>
      <c r="H14" s="10">
        <f t="shared" ref="H14" si="4">IF(AND(F14="bajo",G14="bajo"),9,IF(AND(F14="bajo",G14="medio"),8,IF(AND(F14="bajo",G14="alto"),6,IF(AND(F14="medio",G14="bajo"),7,IF(AND(F14="medio",G14="medio"),5,IF(AND(F14="medio",G14="alto"),3,IF(AND(F14="alto",G14="bajo"),4,IF(AND(F14="alto",G14="medio"),2,IF(AND(F14="alto",G14="alto"),1,"Error")))))))))</f>
        <v>6</v>
      </c>
      <c r="I14" s="22" t="s">
        <v>51</v>
      </c>
      <c r="J14" s="9" t="s">
        <v>24</v>
      </c>
    </row>
    <row r="15" spans="1:11" ht="86.4" x14ac:dyDescent="0.3">
      <c r="A15" s="20">
        <f>A14+1</f>
        <v>9</v>
      </c>
      <c r="B15" s="21" t="s">
        <v>33</v>
      </c>
      <c r="C15" s="9" t="s">
        <v>52</v>
      </c>
      <c r="D15" s="9" t="s">
        <v>53</v>
      </c>
      <c r="E15" s="9" t="s">
        <v>54</v>
      </c>
      <c r="F15" s="10" t="s">
        <v>16</v>
      </c>
      <c r="G15" s="10" t="s">
        <v>16</v>
      </c>
      <c r="H15" s="10">
        <f t="shared" ref="H15" si="5">IF(AND(F15="bajo",G15="bajo"),9,IF(AND(F15="bajo",G15="medio"),8,IF(AND(F15="bajo",G15="alto"),6,IF(AND(F15="medio",G15="bajo"),7,IF(AND(F15="medio",G15="medio"),5,IF(AND(F15="medio",G15="alto"),3,IF(AND(F15="alto",G15="bajo"),4,IF(AND(F15="alto",G15="medio"),2,IF(AND(F15="alto",G15="alto"),1,"Error")))))))))</f>
        <v>5</v>
      </c>
      <c r="I15" s="22" t="s">
        <v>55</v>
      </c>
      <c r="J15" s="9" t="s">
        <v>24</v>
      </c>
    </row>
    <row r="16" spans="1:11" ht="172.8" x14ac:dyDescent="0.3">
      <c r="A16" s="20">
        <f>A15+1</f>
        <v>10</v>
      </c>
      <c r="B16" s="21" t="s">
        <v>32</v>
      </c>
      <c r="C16" s="9" t="s">
        <v>59</v>
      </c>
      <c r="D16" s="9" t="s">
        <v>57</v>
      </c>
      <c r="E16" s="9" t="s">
        <v>56</v>
      </c>
      <c r="F16" s="10" t="s">
        <v>28</v>
      </c>
      <c r="G16" s="10" t="s">
        <v>28</v>
      </c>
      <c r="H16" s="10">
        <f t="shared" ref="H16" si="6">IF(AND(F16="bajo",G16="bajo"),9,IF(AND(F16="bajo",G16="medio"),8,IF(AND(F16="bajo",G16="alto"),6,IF(AND(F16="medio",G16="bajo"),7,IF(AND(F16="medio",G16="medio"),5,IF(AND(F16="medio",G16="alto"),3,IF(AND(F16="alto",G16="bajo"),4,IF(AND(F16="alto",G16="medio"),2,IF(AND(F16="alto",G16="alto"),1,"Error")))))))))</f>
        <v>1</v>
      </c>
      <c r="I16" s="22" t="s">
        <v>58</v>
      </c>
      <c r="J16" s="9" t="s">
        <v>24</v>
      </c>
    </row>
    <row r="17" spans="1:10" ht="100.8" x14ac:dyDescent="0.3">
      <c r="A17" s="20">
        <f>A16+1</f>
        <v>11</v>
      </c>
      <c r="B17" s="21" t="s">
        <v>33</v>
      </c>
      <c r="C17" s="9" t="s">
        <v>60</v>
      </c>
      <c r="D17" s="9" t="s">
        <v>62</v>
      </c>
      <c r="E17" s="9" t="s">
        <v>61</v>
      </c>
      <c r="F17" s="10" t="s">
        <v>28</v>
      </c>
      <c r="G17" s="10" t="s">
        <v>28</v>
      </c>
      <c r="H17" s="10">
        <f t="shared" ref="H17" si="7">IF(AND(F17="bajo",G17="bajo"),9,IF(AND(F17="bajo",G17="medio"),8,IF(AND(F17="bajo",G17="alto"),6,IF(AND(F17="medio",G17="bajo"),7,IF(AND(F17="medio",G17="medio"),5,IF(AND(F17="medio",G17="alto"),3,IF(AND(F17="alto",G17="bajo"),4,IF(AND(F17="alto",G17="medio"),2,IF(AND(F17="alto",G17="alto"),1,"Error")))))))))</f>
        <v>1</v>
      </c>
      <c r="I17" s="22" t="s">
        <v>63</v>
      </c>
      <c r="J17" s="9" t="s">
        <v>24</v>
      </c>
    </row>
    <row r="18" spans="1:10" ht="57.6" x14ac:dyDescent="0.3">
      <c r="A18" s="20">
        <f>A17+1</f>
        <v>12</v>
      </c>
      <c r="B18" s="21" t="s">
        <v>33</v>
      </c>
      <c r="C18" s="9" t="s">
        <v>64</v>
      </c>
      <c r="D18" s="9" t="s">
        <v>65</v>
      </c>
      <c r="E18" s="9" t="s">
        <v>67</v>
      </c>
      <c r="F18" s="10" t="s">
        <v>26</v>
      </c>
      <c r="G18" s="10" t="s">
        <v>28</v>
      </c>
      <c r="H18" s="10">
        <f t="shared" ref="H18" si="8">IF(AND(F18="bajo",G18="bajo"),9,IF(AND(F18="bajo",G18="medio"),8,IF(AND(F18="bajo",G18="alto"),6,IF(AND(F18="medio",G18="bajo"),7,IF(AND(F18="medio",G18="medio"),5,IF(AND(F18="medio",G18="alto"),3,IF(AND(F18="alto",G18="bajo"),4,IF(AND(F18="alto",G18="medio"),2,IF(AND(F18="alto",G18="alto"),1,"Error")))))))))</f>
        <v>6</v>
      </c>
      <c r="I18" s="22" t="s">
        <v>66</v>
      </c>
      <c r="J18" s="9" t="s">
        <v>24</v>
      </c>
    </row>
  </sheetData>
  <mergeCells count="4">
    <mergeCell ref="C1:J1"/>
    <mergeCell ref="D2:J2"/>
    <mergeCell ref="D3:J3"/>
    <mergeCell ref="D4:J4"/>
  </mergeCells>
  <conditionalFormatting sqref="F7:G18">
    <cfRule type="cellIs" dxfId="7" priority="6" operator="equal">
      <formula>"Alto"</formula>
    </cfRule>
    <cfRule type="containsText" dxfId="6" priority="8" operator="containsText" text="Medio">
      <formula>NOT(ISERROR(SEARCH("Medio",F7)))</formula>
    </cfRule>
    <cfRule type="containsText" dxfId="5" priority="9" operator="containsText" text="Bajo">
      <formula>NOT(ISERROR(SEARCH("Bajo",F7)))</formula>
    </cfRule>
  </conditionalFormatting>
  <conditionalFormatting sqref="H7:H18">
    <cfRule type="cellIs" dxfId="4" priority="1" operator="equal">
      <formula>9</formula>
    </cfRule>
    <cfRule type="cellIs" dxfId="3" priority="2" operator="between">
      <formula>7</formula>
      <formula>8</formula>
    </cfRule>
    <cfRule type="cellIs" dxfId="2" priority="3" operator="between">
      <formula>4</formula>
      <formula>6</formula>
    </cfRule>
    <cfRule type="cellIs" dxfId="1" priority="4" operator="between">
      <formula>2</formula>
      <formula>3</formula>
    </cfRule>
    <cfRule type="cellIs" dxfId="0" priority="5" operator="equal">
      <formula>1</formula>
    </cfRule>
  </conditionalFormatting>
  <dataValidations count="4">
    <dataValidation type="list" operator="equal" allowBlank="1" showInputMessage="1" showErrorMessage="1" promptTitle="Cargo" prompt="Seleccione un cargo para la responsabilidad de cada evento." sqref="J7" xr:uid="{00000000-0002-0000-0100-000003000000}">
      <formula1>"Desarrollador,QA,Jefe proyecto"</formula1>
    </dataValidation>
    <dataValidation type="list" allowBlank="1" showInputMessage="1" showErrorMessage="1" sqref="F7:G18" xr:uid="{00000000-0002-0000-0100-000000000000}">
      <formula1>"bajo,medio,alto"</formula1>
    </dataValidation>
    <dataValidation type="list" allowBlank="1" showInputMessage="1" showErrorMessage="1" sqref="B7:B18" xr:uid="{00000000-0002-0000-0100-000001000000}">
      <formula1>"HARWARE,RED, SOFTWARE, OTROS"</formula1>
    </dataValidation>
    <dataValidation type="list" operator="equal" allowBlank="1" showInputMessage="1" showErrorMessage="1" promptTitle="asdasd" prompt="sdasd" sqref="J8:J18" xr:uid="{00000000-0002-0000-0100-000002000000}">
      <formula1>"Desarrollador,QA,Jefe proyecto"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Hoja1</vt:lpstr>
      <vt:lpstr>Gráfico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TALLER 2</dc:creator>
  <cp:lastModifiedBy>Martin Rebello Henriquez</cp:lastModifiedBy>
  <dcterms:created xsi:type="dcterms:W3CDTF">2021-09-22T15:04:51Z</dcterms:created>
  <dcterms:modified xsi:type="dcterms:W3CDTF">2025-07-14T03:24:18Z</dcterms:modified>
</cp:coreProperties>
</file>